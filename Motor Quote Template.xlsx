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QUOTATION TEMPLATES\"/>
    </mc:Choice>
  </mc:AlternateContent>
  <xr:revisionPtr revIDLastSave="0" documentId="13_ncr:1_{8A4176D1-EC31-44B7-A6AE-CEED318C9356}" xr6:coauthVersionLast="47" xr6:coauthVersionMax="47" xr10:uidLastSave="{00000000-0000-0000-0000-000000000000}"/>
  <bookViews>
    <workbookView xWindow="-110" yWindow="-110" windowWidth="19420" windowHeight="11020" activeTab="2" xr2:uid="{CEB02F42-4394-4D5D-B6C1-9414E7E92781}"/>
  </bookViews>
  <sheets>
    <sheet name="Motor Quote" sheetId="1" r:id="rId1"/>
    <sheet name="Pacis" sheetId="2" r:id="rId2"/>
    <sheet name="Heritage" sheetId="3" r:id="rId3"/>
    <sheet name="Oldmutual" sheetId="4" r:id="rId4"/>
    <sheet name="Kenindia" sheetId="6" r:id="rId5"/>
    <sheet name="Mua" sheetId="7" r:id="rId6"/>
    <sheet name="Kenya Orient" sheetId="5" r:id="rId7"/>
    <sheet name="Monarch" sheetId="8" r:id="rId8"/>
    <sheet name="Sheet1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9" l="1"/>
  <c r="B8" i="9"/>
  <c r="B6" i="9"/>
  <c r="B5" i="9"/>
  <c r="D26" i="1"/>
  <c r="C26" i="1"/>
  <c r="B26" i="1"/>
  <c r="B28" i="1" s="1"/>
  <c r="E10" i="1"/>
  <c r="E11" i="1" s="1"/>
  <c r="C11" i="1"/>
  <c r="D30" i="1" l="1"/>
  <c r="D29" i="1"/>
  <c r="C30" i="1"/>
  <c r="C29" i="1"/>
  <c r="C28" i="1"/>
  <c r="D28" i="1"/>
  <c r="B31" i="1"/>
  <c r="C14" i="1"/>
  <c r="C13" i="1"/>
  <c r="E15" i="1"/>
  <c r="E17" i="1" s="1"/>
  <c r="C31" i="1" l="1"/>
  <c r="C32" i="1" s="1"/>
  <c r="C34" i="1" s="1"/>
  <c r="D31" i="1"/>
  <c r="D32" i="1" s="1"/>
  <c r="B32" i="1"/>
  <c r="B34" i="1" s="1"/>
  <c r="E18" i="1"/>
  <c r="E20" i="1" s="1"/>
  <c r="E22" i="1" s="1"/>
  <c r="D34" i="1" l="1"/>
</calcChain>
</file>

<file path=xl/sharedStrings.xml><?xml version="1.0" encoding="utf-8"?>
<sst xmlns="http://schemas.openxmlformats.org/spreadsheetml/2006/main" count="503" uniqueCount="149">
  <si>
    <t>CLASS</t>
  </si>
  <si>
    <t>INTERESTS INSURED</t>
  </si>
  <si>
    <t>SUM INSURED</t>
  </si>
  <si>
    <t>RATES</t>
  </si>
  <si>
    <t>PREMIUM</t>
  </si>
  <si>
    <t>EXCESS/REMARKS</t>
  </si>
  <si>
    <t>MOTOR PRIVATE</t>
  </si>
  <si>
    <t>Comprehensive</t>
  </si>
  <si>
    <t>Optional Benefits</t>
  </si>
  <si>
    <t>Excess Protector</t>
  </si>
  <si>
    <t>Pvt</t>
  </si>
  <si>
    <t>TOTAL</t>
  </si>
  <si>
    <t>LEVIES</t>
  </si>
  <si>
    <t>S/DUTY</t>
  </si>
  <si>
    <t>COMPANY</t>
  </si>
  <si>
    <t>SUM Insured</t>
  </si>
  <si>
    <t>RATE</t>
  </si>
  <si>
    <t>TOTAL PREMIUM</t>
  </si>
  <si>
    <t>HERITAGE</t>
  </si>
  <si>
    <t>PACIS</t>
  </si>
  <si>
    <t>EXCESS PROTECTOR</t>
  </si>
  <si>
    <t>PVT</t>
  </si>
  <si>
    <t>Subject to:</t>
  </si>
  <si>
    <t>Accidental-2.5% of vehicle value min. 15,000/-</t>
  </si>
  <si>
    <t>Max. 100,000/-</t>
  </si>
  <si>
    <t>Theft:</t>
  </si>
  <si>
    <t>Limits of liability</t>
  </si>
  <si>
    <t>Passenger legal Liability:</t>
  </si>
  <si>
    <t xml:space="preserve">  with antitheft devices-10% of value, min. 20,000/-</t>
  </si>
  <si>
    <t xml:space="preserve">  without antitheft device-20% of value, min. 20,000/-</t>
  </si>
  <si>
    <t xml:space="preserve">Excess </t>
  </si>
  <si>
    <t xml:space="preserve">     Any One event-20,000,000</t>
  </si>
  <si>
    <t>Geographical area- East Africa Excluding Third Party Liabilities</t>
  </si>
  <si>
    <t>Young/Novice Drivers-5,000/- (additional)</t>
  </si>
  <si>
    <t>1,500,001-2,500,000</t>
  </si>
  <si>
    <t>2,500,001-3,500,000</t>
  </si>
  <si>
    <t>3,500,001 &amp; Above</t>
  </si>
  <si>
    <t>Rate</t>
  </si>
  <si>
    <t>Value</t>
  </si>
  <si>
    <t>Excess</t>
  </si>
  <si>
    <t>Winscreen Limit</t>
  </si>
  <si>
    <t xml:space="preserve">Radio Limit </t>
  </si>
  <si>
    <t xml:space="preserve">           </t>
  </si>
  <si>
    <t>Without anti-theft 20% of sum insured Min Kshs.20,000</t>
  </si>
  <si>
    <t>Kshs.30,000</t>
  </si>
  <si>
    <t xml:space="preserve">Theft </t>
  </si>
  <si>
    <t xml:space="preserve">TPPD </t>
  </si>
  <si>
    <t xml:space="preserve">Young/Novice Drivers </t>
  </si>
  <si>
    <t xml:space="preserve">Third party property damage </t>
  </si>
  <si>
    <t xml:space="preserve">Passenger liability </t>
  </si>
  <si>
    <t xml:space="preserve">Authorized towing  </t>
  </si>
  <si>
    <t xml:space="preserve">Authorized repair  </t>
  </si>
  <si>
    <t xml:space="preserve">Medical expenses </t>
  </si>
  <si>
    <t>Geographical area</t>
  </si>
  <si>
    <t>Kshs.50,000</t>
  </si>
  <si>
    <t xml:space="preserve"> 2.5% Value min. Shs.25,000</t>
  </si>
  <si>
    <t xml:space="preserve">With anti-theft 10% Value min. Shs.20,000  / With tracking 5% of sum insured </t>
  </si>
  <si>
    <t>500,000-1,499,000</t>
  </si>
  <si>
    <t xml:space="preserve">Third Party </t>
  </si>
  <si>
    <t>Kshs.12,000- Fleet Kshs.10,000</t>
  </si>
  <si>
    <t>Minimum Premium</t>
  </si>
  <si>
    <t>Kshs37,500</t>
  </si>
  <si>
    <t>Minimum Age</t>
  </si>
  <si>
    <t>Minimum Value for Comprehensive</t>
  </si>
  <si>
    <t>12 years</t>
  </si>
  <si>
    <t>Kshs.500,000</t>
  </si>
  <si>
    <t>0.25% 0f the value</t>
  </si>
  <si>
    <t>Own Damage Excess</t>
  </si>
  <si>
    <t>Coutersy Car</t>
  </si>
  <si>
    <t>Drivers PA</t>
  </si>
  <si>
    <t>AA Road Rescue</t>
  </si>
  <si>
    <t>Extra Windscreen</t>
  </si>
  <si>
    <t>Extra Radio Cassette</t>
  </si>
  <si>
    <t>Kshs.3,000 for 10 Days maximum 30 Days- excess 3 Days</t>
  </si>
  <si>
    <t>Kshs.1,000- Death and PTD Limit Kshs.250,000</t>
  </si>
  <si>
    <t>Kshs.6,500</t>
  </si>
  <si>
    <t>10% of extra limit</t>
  </si>
  <si>
    <t>Additional Benefits</t>
  </si>
  <si>
    <t>Windscreen limit</t>
  </si>
  <si>
    <t>Radio Cassette</t>
  </si>
  <si>
    <t>Third party Ppersons injury/death</t>
  </si>
  <si>
    <t>Kshs.5,000,000</t>
  </si>
  <si>
    <t>Kshs.3,000,000/20,000,000</t>
  </si>
  <si>
    <t xml:space="preserve">Kshs.7,500 / TPPI - Nil </t>
  </si>
  <si>
    <t>Kshs.5,0000 (additional)</t>
  </si>
  <si>
    <t>Kenya/Uganda/Tanzania(Subject to Yellow card for TPO out of Kenya)</t>
  </si>
  <si>
    <t>500,000-1,000,000</t>
  </si>
  <si>
    <t>1,000,001-1,500,000</t>
  </si>
  <si>
    <t>2,500,001-5,000,000</t>
  </si>
  <si>
    <t>5,000,001 &amp; Above</t>
  </si>
  <si>
    <t>60,000(max premium for lower band</t>
  </si>
  <si>
    <t>Kshs.12,000-Fleet Kshs.10,000</t>
  </si>
  <si>
    <t>1,500,001-2,999,999</t>
  </si>
  <si>
    <t>1,000,000-1,500,000</t>
  </si>
  <si>
    <t>4%-75,000</t>
  </si>
  <si>
    <t>2,500,001-3,000,000</t>
  </si>
  <si>
    <t>3,000,001-</t>
  </si>
  <si>
    <t>High end vehicles</t>
  </si>
  <si>
    <t>Minimum premium</t>
  </si>
  <si>
    <t>500,000-2,000,000</t>
  </si>
  <si>
    <t>2,000,001-4,000,000</t>
  </si>
  <si>
    <t>4,000,001 &amp; above</t>
  </si>
  <si>
    <t>Fleet</t>
  </si>
  <si>
    <t>Kshs45,000 inclusive of excess and pvt</t>
  </si>
  <si>
    <t>Kshs.12,500- Fleet Kshs.10,000</t>
  </si>
  <si>
    <t>0.25% of the Value minimum Kshs.5,000</t>
  </si>
  <si>
    <t>0.25% of the Value minimum Kshs.2,500</t>
  </si>
  <si>
    <t>Kshs35,000</t>
  </si>
  <si>
    <r>
      <t>0.25% of the Value minimum Kshs.5,000 (</t>
    </r>
    <r>
      <rPr>
        <b/>
        <sz val="11"/>
        <color theme="1"/>
        <rFont val="Calibri"/>
        <family val="2"/>
        <scheme val="minor"/>
      </rPr>
      <t>no excess for vehicles of the value of Kshs.1,000,000)</t>
    </r>
  </si>
  <si>
    <t>0.25% 0f the value minimum Kshs. 2,500</t>
  </si>
  <si>
    <t>Kshs.7,574</t>
  </si>
  <si>
    <t>15 years</t>
  </si>
  <si>
    <t>1,000,001-2,000,000</t>
  </si>
  <si>
    <t>2,000,001 and above</t>
  </si>
  <si>
    <t>0.25% 0f the value minimum Ksh.2,500</t>
  </si>
  <si>
    <t>Motor Cycle</t>
  </si>
  <si>
    <t>Private</t>
  </si>
  <si>
    <t>Third party</t>
  </si>
  <si>
    <t>Ksh.5,000</t>
  </si>
  <si>
    <t>3.5% minimum Ksh.5,000</t>
  </si>
  <si>
    <t>1,500,000-2,499,999</t>
  </si>
  <si>
    <t>2,500,000 and above</t>
  </si>
  <si>
    <t>0.25% 0f the value minimum Kshs.3,000</t>
  </si>
  <si>
    <t>Kshs.50,000. Extra Radio cassette limit -10% of extra limit</t>
  </si>
  <si>
    <t>Kshs.50,000. Extra windscreen limit -10% of extra limit</t>
  </si>
  <si>
    <t>Windscreen Limit</t>
  </si>
  <si>
    <t>Kshs.5,000 (additional)</t>
  </si>
  <si>
    <t>MUA</t>
  </si>
  <si>
    <t>TBA</t>
  </si>
  <si>
    <t>Windscreen- Free upto 100,000</t>
  </si>
  <si>
    <t>Towing &amp; Recovery-100,000</t>
  </si>
  <si>
    <t>Repair Authority-100,000</t>
  </si>
  <si>
    <t>Medical Expenses-100,000</t>
  </si>
  <si>
    <t>Radio cassette-Free upto 100,000</t>
  </si>
  <si>
    <t>Side mirrors and housing-covered</t>
  </si>
  <si>
    <t>Loss of personal effects- 30,000</t>
  </si>
  <si>
    <t>Spare wheel-50,000</t>
  </si>
  <si>
    <t>Tool kit-50,000</t>
  </si>
  <si>
    <t>Forced ATM-30,000</t>
  </si>
  <si>
    <t>Alternative accomodation-10,000</t>
  </si>
  <si>
    <t>Third Party Property Damage-30,000,000</t>
  </si>
  <si>
    <t xml:space="preserve">     Any One person-4,000,000</t>
  </si>
  <si>
    <t>Third Party Liability-10,000,000</t>
  </si>
  <si>
    <t xml:space="preserve">INSURED: JAMES </t>
  </si>
  <si>
    <t>OLDMUTUAL INSURANCE</t>
  </si>
  <si>
    <t>Inclusive</t>
  </si>
  <si>
    <t>Premium</t>
  </si>
  <si>
    <t>Political Violence and terrorism</t>
  </si>
  <si>
    <t>0.25% of the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</si>
</sst>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3" fontId="0" fillId="0" borderId="3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3" fontId="0" fillId="0" borderId="6" xfId="0" applyNumberFormat="1" applyBorder="1"/>
    <xf numFmtId="0" fontId="0" fillId="0" borderId="8" xfId="0" applyBorder="1"/>
    <xf numFmtId="3" fontId="1" fillId="0" borderId="6" xfId="0" applyNumberFormat="1" applyFont="1" applyBorder="1"/>
    <xf numFmtId="3" fontId="1" fillId="0" borderId="9" xfId="0" applyNumberFormat="1" applyFont="1" applyBorder="1"/>
    <xf numFmtId="0" fontId="1" fillId="0" borderId="8" xfId="0" applyFont="1" applyBorder="1"/>
    <xf numFmtId="0" fontId="1" fillId="0" borderId="6" xfId="0" applyFont="1" applyBorder="1"/>
    <xf numFmtId="0" fontId="1" fillId="0" borderId="0" xfId="0" applyFont="1"/>
    <xf numFmtId="3" fontId="0" fillId="0" borderId="0" xfId="0" applyNumberFormat="1"/>
    <xf numFmtId="3" fontId="0" fillId="0" borderId="8" xfId="0" applyNumberFormat="1" applyBorder="1"/>
    <xf numFmtId="0" fontId="0" fillId="0" borderId="11" xfId="0" applyBorder="1"/>
    <xf numFmtId="0" fontId="0" fillId="0" borderId="12" xfId="0" applyBorder="1"/>
    <xf numFmtId="3" fontId="1" fillId="0" borderId="3" xfId="0" applyNumberFormat="1" applyFont="1" applyBorder="1"/>
    <xf numFmtId="0" fontId="1" fillId="0" borderId="7" xfId="0" applyFont="1" applyBorder="1"/>
    <xf numFmtId="9" fontId="0" fillId="0" borderId="8" xfId="0" applyNumberFormat="1" applyBorder="1"/>
    <xf numFmtId="3" fontId="0" fillId="0" borderId="13" xfId="0" applyNumberFormat="1" applyBorder="1"/>
    <xf numFmtId="0" fontId="0" fillId="0" borderId="13" xfId="0" applyBorder="1"/>
    <xf numFmtId="0" fontId="1" fillId="0" borderId="5" xfId="0" applyFont="1" applyBorder="1"/>
    <xf numFmtId="0" fontId="0" fillId="0" borderId="10" xfId="0" applyBorder="1"/>
    <xf numFmtId="10" fontId="0" fillId="0" borderId="11" xfId="0" applyNumberFormat="1" applyBorder="1"/>
    <xf numFmtId="0" fontId="3" fillId="0" borderId="6" xfId="0" applyFont="1" applyBorder="1"/>
    <xf numFmtId="3" fontId="3" fillId="0" borderId="6" xfId="0" applyNumberFormat="1" applyFont="1" applyBorder="1"/>
    <xf numFmtId="3" fontId="1" fillId="2" borderId="1" xfId="0" applyNumberFormat="1" applyFont="1" applyFill="1" applyBorder="1"/>
    <xf numFmtId="3" fontId="1" fillId="2" borderId="7" xfId="0" applyNumberFormat="1" applyFont="1" applyFill="1" applyBorder="1"/>
    <xf numFmtId="3" fontId="1" fillId="2" borderId="4" xfId="0" applyNumberFormat="1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9" fontId="2" fillId="3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9" fontId="0" fillId="0" borderId="0" xfId="0" applyNumberFormat="1"/>
    <xf numFmtId="0" fontId="0" fillId="4" borderId="0" xfId="0" applyFill="1"/>
    <xf numFmtId="10" fontId="0" fillId="0" borderId="0" xfId="0" applyNumberFormat="1"/>
    <xf numFmtId="3" fontId="0" fillId="0" borderId="3" xfId="0" applyNumberFormat="1" applyBorder="1" applyAlignment="1">
      <alignment horizontal="right"/>
    </xf>
    <xf numFmtId="10" fontId="0" fillId="0" borderId="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0</xdr:rowOff>
    </xdr:from>
    <xdr:to>
      <xdr:col>0</xdr:col>
      <xdr:colOff>1714500</xdr:colOff>
      <xdr:row>6</xdr:row>
      <xdr:rowOff>139700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BF6C7D8-E8B8-4DC7-8A71-E928B7043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0"/>
          <a:ext cx="1587500" cy="1250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DF94D-099E-4079-8964-A4010A182340}">
  <dimension ref="A6:G34"/>
  <sheetViews>
    <sheetView topLeftCell="A33" zoomScaleNormal="100" workbookViewId="0">
      <selection activeCell="B4" sqref="B4"/>
    </sheetView>
  </sheetViews>
  <sheetFormatPr defaultRowHeight="14.5" x14ac:dyDescent="0.35"/>
  <cols>
    <col min="1" max="1" width="31.54296875" customWidth="1"/>
    <col min="2" max="2" width="18.7265625" customWidth="1"/>
    <col min="3" max="3" width="17.1796875" customWidth="1"/>
    <col min="4" max="4" width="16.1796875" customWidth="1"/>
    <col min="5" max="5" width="16.453125" customWidth="1"/>
    <col min="6" max="6" width="55" customWidth="1"/>
  </cols>
  <sheetData>
    <row r="6" spans="1:6" ht="15" thickBot="1" x14ac:dyDescent="0.4">
      <c r="C6" s="11" t="s">
        <v>143</v>
      </c>
    </row>
    <row r="7" spans="1:6" ht="15" thickBot="1" x14ac:dyDescent="0.4">
      <c r="A7" s="29" t="s">
        <v>0</v>
      </c>
      <c r="B7" s="29" t="s">
        <v>1</v>
      </c>
      <c r="C7" s="29" t="s">
        <v>2</v>
      </c>
      <c r="D7" s="29" t="s">
        <v>3</v>
      </c>
      <c r="E7" s="29" t="s">
        <v>4</v>
      </c>
      <c r="F7" s="30" t="s">
        <v>5</v>
      </c>
    </row>
    <row r="8" spans="1:6" x14ac:dyDescent="0.35">
      <c r="A8" s="21" t="s">
        <v>6</v>
      </c>
      <c r="B8" s="21" t="s">
        <v>7</v>
      </c>
      <c r="C8" s="2"/>
      <c r="D8" s="22"/>
      <c r="E8" s="2"/>
      <c r="F8" s="2" t="s">
        <v>22</v>
      </c>
    </row>
    <row r="9" spans="1:6" x14ac:dyDescent="0.35">
      <c r="A9" s="10" t="s">
        <v>144</v>
      </c>
      <c r="B9" s="3"/>
      <c r="C9" s="3"/>
      <c r="D9" s="14"/>
      <c r="E9" s="3"/>
      <c r="F9" s="24" t="s">
        <v>30</v>
      </c>
    </row>
    <row r="10" spans="1:6" x14ac:dyDescent="0.35">
      <c r="A10" s="3"/>
      <c r="B10" s="3" t="s">
        <v>128</v>
      </c>
      <c r="C10" s="13">
        <v>3200000</v>
      </c>
      <c r="D10" s="23">
        <v>3.2500000000000001E-2</v>
      </c>
      <c r="E10" s="13">
        <f>D10*C10</f>
        <v>104000</v>
      </c>
      <c r="F10" s="5" t="s">
        <v>23</v>
      </c>
    </row>
    <row r="11" spans="1:6" x14ac:dyDescent="0.35">
      <c r="A11" s="3"/>
      <c r="B11" s="3"/>
      <c r="C11" s="7">
        <f>SUM(C10:C10)</f>
        <v>3200000</v>
      </c>
      <c r="D11" s="14"/>
      <c r="E11" s="7">
        <f>SUM(E10:E10)</f>
        <v>104000</v>
      </c>
      <c r="F11" s="5" t="s">
        <v>24</v>
      </c>
    </row>
    <row r="12" spans="1:6" ht="15" customHeight="1" x14ac:dyDescent="0.35">
      <c r="A12" s="3" t="s">
        <v>129</v>
      </c>
      <c r="B12" s="9" t="s">
        <v>8</v>
      </c>
      <c r="C12" s="5"/>
      <c r="D12" s="14"/>
      <c r="E12" s="3"/>
      <c r="F12" s="3" t="s">
        <v>25</v>
      </c>
    </row>
    <row r="13" spans="1:6" ht="15" customHeight="1" x14ac:dyDescent="0.35">
      <c r="A13" s="3" t="s">
        <v>133</v>
      </c>
      <c r="B13" s="10" t="s">
        <v>9</v>
      </c>
      <c r="C13" s="5">
        <f>C11</f>
        <v>3200000</v>
      </c>
      <c r="D13" s="23" t="s">
        <v>145</v>
      </c>
      <c r="E13" s="5">
        <v>0</v>
      </c>
      <c r="F13" s="5" t="s">
        <v>28</v>
      </c>
    </row>
    <row r="14" spans="1:6" x14ac:dyDescent="0.35">
      <c r="A14" s="3" t="s">
        <v>130</v>
      </c>
      <c r="B14" s="10" t="s">
        <v>10</v>
      </c>
      <c r="C14" s="5">
        <f>C11</f>
        <v>3200000</v>
      </c>
      <c r="D14" s="23" t="s">
        <v>145</v>
      </c>
      <c r="E14" s="5">
        <v>0</v>
      </c>
      <c r="F14" s="5" t="s">
        <v>29</v>
      </c>
    </row>
    <row r="15" spans="1:6" x14ac:dyDescent="0.35">
      <c r="A15" s="3" t="s">
        <v>131</v>
      </c>
      <c r="B15" s="3"/>
      <c r="C15" s="3"/>
      <c r="D15" s="14"/>
      <c r="E15" s="8">
        <f>E11+E13+E14</f>
        <v>104000</v>
      </c>
      <c r="F15" s="5" t="s">
        <v>33</v>
      </c>
    </row>
    <row r="16" spans="1:6" x14ac:dyDescent="0.35">
      <c r="A16" s="3" t="s">
        <v>132</v>
      </c>
      <c r="B16" s="3"/>
      <c r="C16" s="3"/>
      <c r="D16" s="14"/>
      <c r="E16" s="7"/>
      <c r="F16" s="5"/>
    </row>
    <row r="17" spans="1:7" x14ac:dyDescent="0.35">
      <c r="A17" s="3" t="s">
        <v>134</v>
      </c>
      <c r="B17" s="3"/>
      <c r="C17" s="3" t="s">
        <v>11</v>
      </c>
      <c r="D17" s="14"/>
      <c r="E17" s="5">
        <f>E15</f>
        <v>104000</v>
      </c>
      <c r="F17" s="25" t="s">
        <v>26</v>
      </c>
    </row>
    <row r="18" spans="1:7" x14ac:dyDescent="0.35">
      <c r="A18" s="3" t="s">
        <v>135</v>
      </c>
      <c r="B18" s="3"/>
      <c r="C18" s="3" t="s">
        <v>12</v>
      </c>
      <c r="D18" s="23">
        <v>4.4999999999999997E-3</v>
      </c>
      <c r="E18" s="5">
        <f>E17*D18</f>
        <v>467.99999999999994</v>
      </c>
      <c r="F18" s="5" t="s">
        <v>142</v>
      </c>
    </row>
    <row r="19" spans="1:7" ht="15" thickBot="1" x14ac:dyDescent="0.4">
      <c r="A19" s="3" t="s">
        <v>136</v>
      </c>
      <c r="B19" s="3"/>
      <c r="C19" s="3" t="s">
        <v>13</v>
      </c>
      <c r="D19" s="14"/>
      <c r="E19" s="3">
        <v>40</v>
      </c>
      <c r="F19" s="3" t="s">
        <v>140</v>
      </c>
    </row>
    <row r="20" spans="1:7" ht="15" thickBot="1" x14ac:dyDescent="0.4">
      <c r="A20" s="3" t="s">
        <v>137</v>
      </c>
      <c r="B20" s="3"/>
      <c r="C20" s="10" t="s">
        <v>4</v>
      </c>
      <c r="D20" s="14"/>
      <c r="E20" s="26">
        <f>E17+E18+E19</f>
        <v>104508</v>
      </c>
      <c r="F20" s="3" t="s">
        <v>27</v>
      </c>
    </row>
    <row r="21" spans="1:7" ht="15" thickBot="1" x14ac:dyDescent="0.4">
      <c r="A21" s="3" t="s">
        <v>138</v>
      </c>
      <c r="B21" s="10"/>
      <c r="C21" s="7"/>
      <c r="D21" s="14"/>
      <c r="E21" s="5"/>
      <c r="F21" s="3" t="s">
        <v>141</v>
      </c>
    </row>
    <row r="22" spans="1:7" ht="15" thickBot="1" x14ac:dyDescent="0.4">
      <c r="A22" s="3" t="s">
        <v>139</v>
      </c>
      <c r="B22" s="3"/>
      <c r="C22" s="10" t="s">
        <v>17</v>
      </c>
      <c r="D22" s="14"/>
      <c r="E22" s="26">
        <f>E20</f>
        <v>104508</v>
      </c>
      <c r="F22" s="3" t="s">
        <v>31</v>
      </c>
    </row>
    <row r="23" spans="1:7" ht="15" thickBot="1" x14ac:dyDescent="0.4">
      <c r="A23" s="4"/>
      <c r="B23" s="4"/>
      <c r="C23" s="4"/>
      <c r="D23" s="15"/>
      <c r="E23" s="4"/>
      <c r="F23" s="4" t="s">
        <v>32</v>
      </c>
    </row>
    <row r="24" spans="1:7" ht="15" thickBot="1" x14ac:dyDescent="0.4"/>
    <row r="25" spans="1:7" ht="15" thickBot="1" x14ac:dyDescent="0.4">
      <c r="A25" s="31" t="s">
        <v>14</v>
      </c>
      <c r="B25" s="29" t="s">
        <v>127</v>
      </c>
      <c r="C25" s="29" t="s">
        <v>18</v>
      </c>
      <c r="D25" s="30" t="s">
        <v>19</v>
      </c>
    </row>
    <row r="26" spans="1:7" x14ac:dyDescent="0.35">
      <c r="A26" s="5" t="s">
        <v>15</v>
      </c>
      <c r="B26" s="5">
        <f>C10</f>
        <v>3200000</v>
      </c>
      <c r="C26" s="5">
        <f>C10</f>
        <v>3200000</v>
      </c>
      <c r="D26" s="1">
        <f>C10</f>
        <v>3200000</v>
      </c>
    </row>
    <row r="27" spans="1:7" x14ac:dyDescent="0.35">
      <c r="A27" s="6" t="s">
        <v>16</v>
      </c>
      <c r="B27" s="39">
        <v>3.5000000000000003E-2</v>
      </c>
      <c r="C27" s="39">
        <v>2.75E-2</v>
      </c>
      <c r="D27" s="18">
        <v>0.03</v>
      </c>
      <c r="G27" s="37"/>
    </row>
    <row r="28" spans="1:7" x14ac:dyDescent="0.35">
      <c r="A28" s="10" t="s">
        <v>4</v>
      </c>
      <c r="B28" s="7">
        <f>B26*B27</f>
        <v>112000.00000000001</v>
      </c>
      <c r="C28" s="7">
        <f>C26*C27</f>
        <v>88000</v>
      </c>
      <c r="D28" s="16">
        <f>D27*D26</f>
        <v>96000</v>
      </c>
      <c r="E28" s="12"/>
    </row>
    <row r="29" spans="1:7" x14ac:dyDescent="0.35">
      <c r="A29" s="3" t="s">
        <v>20</v>
      </c>
      <c r="B29" s="5"/>
      <c r="C29" s="5">
        <f>C26*0.25%</f>
        <v>8000</v>
      </c>
      <c r="D29" s="38">
        <f>D26*0.25%</f>
        <v>8000</v>
      </c>
      <c r="G29" s="37"/>
    </row>
    <row r="30" spans="1:7" x14ac:dyDescent="0.35">
      <c r="A30" s="6" t="s">
        <v>21</v>
      </c>
      <c r="B30" s="13"/>
      <c r="C30" s="13">
        <f>C26*0.25%</f>
        <v>8000</v>
      </c>
      <c r="D30" s="19">
        <f>D26*0.25%</f>
        <v>8000</v>
      </c>
    </row>
    <row r="31" spans="1:7" x14ac:dyDescent="0.35">
      <c r="A31" s="10" t="s">
        <v>4</v>
      </c>
      <c r="B31" s="7">
        <f>B28+B29+B30</f>
        <v>112000.00000000001</v>
      </c>
      <c r="C31" s="7">
        <f>C28+C29+C30</f>
        <v>104000</v>
      </c>
      <c r="D31" s="16">
        <f>SUM(D28:D30)</f>
        <v>112000</v>
      </c>
    </row>
    <row r="32" spans="1:7" x14ac:dyDescent="0.35">
      <c r="A32" s="3" t="s">
        <v>12</v>
      </c>
      <c r="B32" s="3">
        <f>B31*0.45%</f>
        <v>504.00000000000011</v>
      </c>
      <c r="C32" s="5">
        <f>C31*0.45%</f>
        <v>468.00000000000006</v>
      </c>
      <c r="D32" s="1">
        <f>D31*0.45%</f>
        <v>504.00000000000006</v>
      </c>
    </row>
    <row r="33" spans="1:4" x14ac:dyDescent="0.35">
      <c r="A33" s="6" t="s">
        <v>13</v>
      </c>
      <c r="B33" s="6">
        <v>40</v>
      </c>
      <c r="C33" s="6">
        <v>40</v>
      </c>
      <c r="D33" s="20">
        <v>40</v>
      </c>
    </row>
    <row r="34" spans="1:4" ht="15" thickBot="1" x14ac:dyDescent="0.4">
      <c r="A34" s="17" t="s">
        <v>17</v>
      </c>
      <c r="B34" s="27">
        <f>B31+B32+B33</f>
        <v>112544.00000000001</v>
      </c>
      <c r="C34" s="27">
        <f>C31+C32+C33</f>
        <v>104508</v>
      </c>
      <c r="D34" s="28">
        <f>D31+D32+D33</f>
        <v>112544</v>
      </c>
    </row>
  </sheetData>
  <pageMargins left="0.7" right="0.7" top="0.75" bottom="0.75" header="0.3" footer="0.3"/>
  <pageSetup paperSize="9" scale="5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A4554-DD54-42EC-A9B1-746B721616EF}">
  <dimension ref="A2:G35"/>
  <sheetViews>
    <sheetView workbookViewId="0">
      <selection activeCell="A24" sqref="A24"/>
    </sheetView>
  </sheetViews>
  <sheetFormatPr defaultRowHeight="14.5" x14ac:dyDescent="0.35"/>
  <cols>
    <col min="1" max="1" width="32.7265625" customWidth="1"/>
    <col min="2" max="4" width="19.26953125" customWidth="1"/>
    <col min="5" max="5" width="20.453125" customWidth="1"/>
    <col min="6" max="7" width="16.81640625" customWidth="1"/>
  </cols>
  <sheetData>
    <row r="2" spans="1:7" x14ac:dyDescent="0.35">
      <c r="A2" s="11" t="s">
        <v>38</v>
      </c>
      <c r="B2" s="11" t="s">
        <v>37</v>
      </c>
    </row>
    <row r="3" spans="1:7" x14ac:dyDescent="0.35">
      <c r="A3" t="s">
        <v>57</v>
      </c>
      <c r="B3" s="35">
        <v>7.0000000000000007E-2</v>
      </c>
    </row>
    <row r="4" spans="1:7" x14ac:dyDescent="0.35">
      <c r="A4" t="s">
        <v>120</v>
      </c>
      <c r="B4" s="35">
        <v>0.04</v>
      </c>
    </row>
    <row r="5" spans="1:7" x14ac:dyDescent="0.35">
      <c r="A5" t="s">
        <v>121</v>
      </c>
      <c r="B5" s="35">
        <v>0.03</v>
      </c>
    </row>
    <row r="6" spans="1:7" x14ac:dyDescent="0.35">
      <c r="B6" s="35"/>
      <c r="G6" s="32"/>
    </row>
    <row r="7" spans="1:7" x14ac:dyDescent="0.35">
      <c r="A7" t="s">
        <v>58</v>
      </c>
      <c r="B7" t="s">
        <v>59</v>
      </c>
      <c r="G7" s="32"/>
    </row>
    <row r="8" spans="1:7" x14ac:dyDescent="0.35">
      <c r="A8" t="s">
        <v>60</v>
      </c>
      <c r="B8" s="36" t="s">
        <v>61</v>
      </c>
      <c r="G8" s="32"/>
    </row>
    <row r="9" spans="1:7" x14ac:dyDescent="0.35">
      <c r="A9" t="s">
        <v>62</v>
      </c>
      <c r="B9" t="s">
        <v>64</v>
      </c>
      <c r="G9" s="32"/>
    </row>
    <row r="10" spans="1:7" x14ac:dyDescent="0.35">
      <c r="A10" t="s">
        <v>63</v>
      </c>
      <c r="B10" t="s">
        <v>65</v>
      </c>
      <c r="G10" s="32"/>
    </row>
    <row r="11" spans="1:7" x14ac:dyDescent="0.35">
      <c r="A11" t="s">
        <v>67</v>
      </c>
      <c r="B11" t="s">
        <v>55</v>
      </c>
      <c r="G11" s="32"/>
    </row>
    <row r="12" spans="1:7" x14ac:dyDescent="0.35">
      <c r="A12" t="s">
        <v>39</v>
      </c>
      <c r="B12" s="36" t="s">
        <v>108</v>
      </c>
      <c r="C12" s="36"/>
      <c r="D12" s="36"/>
      <c r="E12" s="36"/>
      <c r="G12" s="33"/>
    </row>
    <row r="13" spans="1:7" x14ac:dyDescent="0.35">
      <c r="A13" t="s">
        <v>21</v>
      </c>
      <c r="B13" t="s">
        <v>122</v>
      </c>
    </row>
    <row r="14" spans="1:7" x14ac:dyDescent="0.35">
      <c r="A14" t="s">
        <v>125</v>
      </c>
      <c r="B14" t="s">
        <v>124</v>
      </c>
      <c r="G14" s="33"/>
    </row>
    <row r="15" spans="1:7" x14ac:dyDescent="0.35">
      <c r="A15" s="33" t="s">
        <v>41</v>
      </c>
      <c r="B15" t="s">
        <v>123</v>
      </c>
      <c r="G15" s="33"/>
    </row>
    <row r="16" spans="1:7" x14ac:dyDescent="0.35">
      <c r="A16" s="33"/>
      <c r="G16" s="33"/>
    </row>
    <row r="17" spans="1:7" x14ac:dyDescent="0.35">
      <c r="A17" s="32" t="s">
        <v>77</v>
      </c>
      <c r="G17" s="33"/>
    </row>
    <row r="18" spans="1:7" x14ac:dyDescent="0.35">
      <c r="A18" s="34" t="s">
        <v>68</v>
      </c>
      <c r="B18" t="s">
        <v>73</v>
      </c>
      <c r="G18" s="33"/>
    </row>
    <row r="19" spans="1:7" x14ac:dyDescent="0.35">
      <c r="A19" s="34" t="s">
        <v>69</v>
      </c>
      <c r="B19" t="s">
        <v>74</v>
      </c>
      <c r="G19" s="33"/>
    </row>
    <row r="20" spans="1:7" x14ac:dyDescent="0.35">
      <c r="A20" s="34" t="s">
        <v>70</v>
      </c>
      <c r="B20" t="s">
        <v>75</v>
      </c>
      <c r="G20" s="33"/>
    </row>
    <row r="21" spans="1:7" x14ac:dyDescent="0.35">
      <c r="A21" s="34" t="s">
        <v>45</v>
      </c>
      <c r="B21" t="s">
        <v>56</v>
      </c>
    </row>
    <row r="22" spans="1:7" x14ac:dyDescent="0.35">
      <c r="A22" s="33" t="s">
        <v>42</v>
      </c>
      <c r="B22" t="s">
        <v>43</v>
      </c>
    </row>
    <row r="23" spans="1:7" x14ac:dyDescent="0.35">
      <c r="A23" s="33" t="s">
        <v>46</v>
      </c>
      <c r="B23" t="s">
        <v>83</v>
      </c>
    </row>
    <row r="24" spans="1:7" x14ac:dyDescent="0.35">
      <c r="A24" s="33" t="s">
        <v>47</v>
      </c>
      <c r="B24" t="s">
        <v>84</v>
      </c>
    </row>
    <row r="25" spans="1:7" x14ac:dyDescent="0.35">
      <c r="A25" s="33"/>
    </row>
    <row r="26" spans="1:7" x14ac:dyDescent="0.35">
      <c r="A26" s="32" t="s">
        <v>26</v>
      </c>
    </row>
    <row r="27" spans="1:7" x14ac:dyDescent="0.35">
      <c r="A27" s="33" t="s">
        <v>48</v>
      </c>
      <c r="B27" t="s">
        <v>81</v>
      </c>
    </row>
    <row r="28" spans="1:7" x14ac:dyDescent="0.35">
      <c r="A28" s="33" t="s">
        <v>80</v>
      </c>
      <c r="B28" t="s">
        <v>81</v>
      </c>
    </row>
    <row r="29" spans="1:7" x14ac:dyDescent="0.35">
      <c r="A29" s="33" t="s">
        <v>49</v>
      </c>
      <c r="B29" t="s">
        <v>82</v>
      </c>
    </row>
    <row r="30" spans="1:7" x14ac:dyDescent="0.35">
      <c r="A30" s="33" t="s">
        <v>50</v>
      </c>
      <c r="B30" t="s">
        <v>44</v>
      </c>
    </row>
    <row r="31" spans="1:7" x14ac:dyDescent="0.35">
      <c r="A31" s="33" t="s">
        <v>51</v>
      </c>
      <c r="B31" t="s">
        <v>44</v>
      </c>
    </row>
    <row r="32" spans="1:7" x14ac:dyDescent="0.35">
      <c r="A32" s="33" t="s">
        <v>52</v>
      </c>
      <c r="B32" t="s">
        <v>44</v>
      </c>
    </row>
    <row r="33" spans="1:2" x14ac:dyDescent="0.35">
      <c r="A33" s="33" t="s">
        <v>53</v>
      </c>
      <c r="B33" t="s">
        <v>85</v>
      </c>
    </row>
    <row r="34" spans="1:2" x14ac:dyDescent="0.35">
      <c r="A34" s="33" t="s">
        <v>78</v>
      </c>
      <c r="B34" t="s">
        <v>44</v>
      </c>
    </row>
    <row r="35" spans="1:2" x14ac:dyDescent="0.35">
      <c r="A35" s="33" t="s">
        <v>79</v>
      </c>
      <c r="B35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ADED1-1F29-4A23-9636-37E5E4336291}">
  <dimension ref="A2:H38"/>
  <sheetViews>
    <sheetView tabSelected="1" workbookViewId="0">
      <selection activeCell="C14" sqref="C14"/>
    </sheetView>
  </sheetViews>
  <sheetFormatPr defaultRowHeight="14.5" x14ac:dyDescent="0.35"/>
  <cols>
    <col min="1" max="1" width="28.26953125" customWidth="1"/>
    <col min="2" max="2" width="17.26953125" customWidth="1"/>
    <col min="3" max="3" width="18.1796875" customWidth="1"/>
    <col min="4" max="4" width="17.453125" customWidth="1"/>
    <col min="5" max="6" width="17.54296875" customWidth="1"/>
  </cols>
  <sheetData>
    <row r="2" spans="1:8" x14ac:dyDescent="0.35">
      <c r="A2" s="11" t="s">
        <v>38</v>
      </c>
      <c r="B2" s="11" t="s">
        <v>37</v>
      </c>
      <c r="C2" s="11" t="s">
        <v>98</v>
      </c>
      <c r="D2" s="11" t="s">
        <v>97</v>
      </c>
    </row>
    <row r="3" spans="1:8" x14ac:dyDescent="0.35">
      <c r="A3" t="s">
        <v>86</v>
      </c>
      <c r="B3" s="35">
        <v>7.0000000000000007E-2</v>
      </c>
      <c r="C3" s="12">
        <v>50000</v>
      </c>
    </row>
    <row r="4" spans="1:8" x14ac:dyDescent="0.35">
      <c r="A4" t="s">
        <v>93</v>
      </c>
      <c r="B4" s="35">
        <v>0.05</v>
      </c>
      <c r="C4" s="12">
        <v>70000</v>
      </c>
    </row>
    <row r="5" spans="1:8" x14ac:dyDescent="0.35">
      <c r="A5" t="s">
        <v>34</v>
      </c>
      <c r="B5" s="37">
        <v>3.5000000000000003E-2</v>
      </c>
      <c r="C5" s="12">
        <v>71000</v>
      </c>
      <c r="D5" t="s">
        <v>94</v>
      </c>
    </row>
    <row r="6" spans="1:8" x14ac:dyDescent="0.35">
      <c r="A6" t="s">
        <v>95</v>
      </c>
      <c r="B6" s="35">
        <v>0.03</v>
      </c>
      <c r="C6" s="12">
        <v>87500</v>
      </c>
    </row>
    <row r="7" spans="1:8" x14ac:dyDescent="0.35">
      <c r="A7" t="s">
        <v>96</v>
      </c>
      <c r="B7" s="37">
        <v>2.75E-2</v>
      </c>
      <c r="C7" s="12">
        <v>87500</v>
      </c>
      <c r="H7" s="37"/>
    </row>
    <row r="8" spans="1:8" x14ac:dyDescent="0.35">
      <c r="A8" t="s">
        <v>58</v>
      </c>
      <c r="B8" t="s">
        <v>59</v>
      </c>
    </row>
    <row r="9" spans="1:8" x14ac:dyDescent="0.35">
      <c r="A9" t="s">
        <v>62</v>
      </c>
      <c r="B9" t="s">
        <v>64</v>
      </c>
    </row>
    <row r="10" spans="1:8" x14ac:dyDescent="0.35">
      <c r="A10" t="s">
        <v>63</v>
      </c>
      <c r="B10" t="s">
        <v>65</v>
      </c>
    </row>
    <row r="11" spans="1:8" x14ac:dyDescent="0.35">
      <c r="A11" t="s">
        <v>67</v>
      </c>
      <c r="B11" t="s">
        <v>55</v>
      </c>
    </row>
    <row r="12" spans="1:8" x14ac:dyDescent="0.35">
      <c r="A12" t="s">
        <v>39</v>
      </c>
      <c r="B12" t="s">
        <v>105</v>
      </c>
    </row>
    <row r="13" spans="1:8" x14ac:dyDescent="0.35">
      <c r="A13" t="s">
        <v>21</v>
      </c>
      <c r="B13" t="s">
        <v>66</v>
      </c>
    </row>
    <row r="14" spans="1:8" x14ac:dyDescent="0.35">
      <c r="A14" t="s">
        <v>40</v>
      </c>
      <c r="B14" t="s">
        <v>54</v>
      </c>
    </row>
    <row r="15" spans="1:8" x14ac:dyDescent="0.35">
      <c r="A15" s="33" t="s">
        <v>41</v>
      </c>
      <c r="B15" t="s">
        <v>54</v>
      </c>
    </row>
    <row r="16" spans="1:8" x14ac:dyDescent="0.35">
      <c r="A16" s="33"/>
    </row>
    <row r="17" spans="1:2" x14ac:dyDescent="0.35">
      <c r="A17" s="32" t="s">
        <v>77</v>
      </c>
    </row>
    <row r="18" spans="1:2" x14ac:dyDescent="0.35">
      <c r="A18" s="34" t="s">
        <v>68</v>
      </c>
      <c r="B18" t="s">
        <v>73</v>
      </c>
    </row>
    <row r="19" spans="1:2" x14ac:dyDescent="0.35">
      <c r="A19" s="34" t="s">
        <v>69</v>
      </c>
      <c r="B19" t="s">
        <v>74</v>
      </c>
    </row>
    <row r="20" spans="1:2" x14ac:dyDescent="0.35">
      <c r="A20" s="34" t="s">
        <v>70</v>
      </c>
      <c r="B20" t="s">
        <v>75</v>
      </c>
    </row>
    <row r="21" spans="1:2" x14ac:dyDescent="0.35">
      <c r="A21" s="34" t="s">
        <v>71</v>
      </c>
      <c r="B21" t="s">
        <v>76</v>
      </c>
    </row>
    <row r="22" spans="1:2" x14ac:dyDescent="0.35">
      <c r="A22" s="34" t="s">
        <v>72</v>
      </c>
      <c r="B22" t="s">
        <v>76</v>
      </c>
    </row>
    <row r="23" spans="1:2" x14ac:dyDescent="0.35">
      <c r="A23" s="34" t="s">
        <v>45</v>
      </c>
      <c r="B23" t="s">
        <v>56</v>
      </c>
    </row>
    <row r="24" spans="1:2" x14ac:dyDescent="0.35">
      <c r="A24" s="33" t="s">
        <v>42</v>
      </c>
      <c r="B24" t="s">
        <v>43</v>
      </c>
    </row>
    <row r="25" spans="1:2" x14ac:dyDescent="0.35">
      <c r="A25" s="33" t="s">
        <v>46</v>
      </c>
      <c r="B25" t="s">
        <v>83</v>
      </c>
    </row>
    <row r="26" spans="1:2" x14ac:dyDescent="0.35">
      <c r="A26" s="33" t="s">
        <v>47</v>
      </c>
      <c r="B26" t="s">
        <v>84</v>
      </c>
    </row>
    <row r="27" spans="1:2" x14ac:dyDescent="0.35">
      <c r="A27" s="33"/>
    </row>
    <row r="28" spans="1:2" x14ac:dyDescent="0.35">
      <c r="A28" s="32" t="s">
        <v>26</v>
      </c>
    </row>
    <row r="29" spans="1:2" x14ac:dyDescent="0.35">
      <c r="A29" s="33" t="s">
        <v>48</v>
      </c>
      <c r="B29" t="s">
        <v>81</v>
      </c>
    </row>
    <row r="30" spans="1:2" x14ac:dyDescent="0.35">
      <c r="A30" s="33" t="s">
        <v>80</v>
      </c>
      <c r="B30" t="s">
        <v>81</v>
      </c>
    </row>
    <row r="31" spans="1:2" x14ac:dyDescent="0.35">
      <c r="A31" s="33" t="s">
        <v>49</v>
      </c>
      <c r="B31" t="s">
        <v>82</v>
      </c>
    </row>
    <row r="32" spans="1:2" x14ac:dyDescent="0.35">
      <c r="A32" s="33" t="s">
        <v>50</v>
      </c>
      <c r="B32" t="s">
        <v>44</v>
      </c>
    </row>
    <row r="33" spans="1:2" x14ac:dyDescent="0.35">
      <c r="A33" s="33" t="s">
        <v>51</v>
      </c>
      <c r="B33" t="s">
        <v>44</v>
      </c>
    </row>
    <row r="34" spans="1:2" x14ac:dyDescent="0.35">
      <c r="A34" s="33" t="s">
        <v>52</v>
      </c>
      <c r="B34" t="s">
        <v>44</v>
      </c>
    </row>
    <row r="35" spans="1:2" x14ac:dyDescent="0.35">
      <c r="A35" s="33" t="s">
        <v>53</v>
      </c>
      <c r="B35" t="s">
        <v>85</v>
      </c>
    </row>
    <row r="36" spans="1:2" x14ac:dyDescent="0.35">
      <c r="A36" s="33" t="s">
        <v>78</v>
      </c>
      <c r="B36" t="s">
        <v>44</v>
      </c>
    </row>
    <row r="37" spans="1:2" x14ac:dyDescent="0.35">
      <c r="A37" s="33" t="s">
        <v>79</v>
      </c>
      <c r="B37" t="s">
        <v>44</v>
      </c>
    </row>
    <row r="38" spans="1:2" x14ac:dyDescent="0.35">
      <c r="A38" s="33" t="s">
        <v>79</v>
      </c>
      <c r="B38" t="s">
        <v>44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8511-D76F-43E6-B4B8-6DD64EC63C3E}">
  <dimension ref="A2:B37"/>
  <sheetViews>
    <sheetView zoomScale="104" workbookViewId="0">
      <selection activeCell="B6" sqref="B6"/>
    </sheetView>
  </sheetViews>
  <sheetFormatPr defaultRowHeight="14.5" x14ac:dyDescent="0.35"/>
  <cols>
    <col min="1" max="1" width="30.54296875" customWidth="1"/>
    <col min="2" max="2" width="17.26953125" customWidth="1"/>
    <col min="3" max="3" width="17.54296875" customWidth="1"/>
    <col min="4" max="4" width="18" customWidth="1"/>
    <col min="5" max="5" width="17.453125" customWidth="1"/>
    <col min="6" max="6" width="17.54296875" customWidth="1"/>
    <col min="7" max="7" width="17.1796875" customWidth="1"/>
  </cols>
  <sheetData>
    <row r="2" spans="1:2" x14ac:dyDescent="0.35">
      <c r="A2" s="11" t="s">
        <v>38</v>
      </c>
      <c r="B2" s="11" t="s">
        <v>37</v>
      </c>
    </row>
    <row r="3" spans="1:2" x14ac:dyDescent="0.35">
      <c r="A3" t="s">
        <v>86</v>
      </c>
      <c r="B3" s="35">
        <v>0.06</v>
      </c>
    </row>
    <row r="4" spans="1:2" x14ac:dyDescent="0.35">
      <c r="A4" t="s">
        <v>87</v>
      </c>
      <c r="B4" s="35">
        <v>0.05</v>
      </c>
    </row>
    <row r="5" spans="1:2" x14ac:dyDescent="0.35">
      <c r="A5" t="s">
        <v>92</v>
      </c>
      <c r="B5" s="35">
        <v>0.04</v>
      </c>
    </row>
    <row r="6" spans="1:2" x14ac:dyDescent="0.35">
      <c r="A6" t="s">
        <v>36</v>
      </c>
      <c r="B6" s="35">
        <v>0.03</v>
      </c>
    </row>
    <row r="7" spans="1:2" x14ac:dyDescent="0.35">
      <c r="A7" t="s">
        <v>58</v>
      </c>
      <c r="B7" t="s">
        <v>59</v>
      </c>
    </row>
    <row r="8" spans="1:2" x14ac:dyDescent="0.35">
      <c r="A8" t="s">
        <v>60</v>
      </c>
      <c r="B8" s="36" t="s">
        <v>61</v>
      </c>
    </row>
    <row r="9" spans="1:2" x14ac:dyDescent="0.35">
      <c r="A9" t="s">
        <v>62</v>
      </c>
      <c r="B9" t="s">
        <v>64</v>
      </c>
    </row>
    <row r="10" spans="1:2" x14ac:dyDescent="0.35">
      <c r="A10" t="s">
        <v>63</v>
      </c>
      <c r="B10" t="s">
        <v>65</v>
      </c>
    </row>
    <row r="11" spans="1:2" x14ac:dyDescent="0.35">
      <c r="A11" t="s">
        <v>67</v>
      </c>
      <c r="B11" t="s">
        <v>55</v>
      </c>
    </row>
    <row r="12" spans="1:2" x14ac:dyDescent="0.35">
      <c r="A12" t="s">
        <v>39</v>
      </c>
      <c r="B12" t="s">
        <v>105</v>
      </c>
    </row>
    <row r="13" spans="1:2" x14ac:dyDescent="0.35">
      <c r="A13" t="s">
        <v>21</v>
      </c>
      <c r="B13" t="s">
        <v>148</v>
      </c>
    </row>
    <row r="14" spans="1:2" x14ac:dyDescent="0.35">
      <c r="A14" t="s">
        <v>40</v>
      </c>
      <c r="B14" t="s">
        <v>54</v>
      </c>
    </row>
    <row r="15" spans="1:2" x14ac:dyDescent="0.35">
      <c r="A15" s="33" t="s">
        <v>41</v>
      </c>
      <c r="B15" t="s">
        <v>54</v>
      </c>
    </row>
    <row r="16" spans="1:2" x14ac:dyDescent="0.35">
      <c r="A16" s="33"/>
    </row>
    <row r="17" spans="1:2" x14ac:dyDescent="0.35">
      <c r="A17" s="32" t="s">
        <v>77</v>
      </c>
    </row>
    <row r="18" spans="1:2" x14ac:dyDescent="0.35">
      <c r="A18" s="34" t="s">
        <v>68</v>
      </c>
      <c r="B18" t="s">
        <v>73</v>
      </c>
    </row>
    <row r="19" spans="1:2" x14ac:dyDescent="0.35">
      <c r="A19" s="34" t="s">
        <v>69</v>
      </c>
      <c r="B19" t="s">
        <v>74</v>
      </c>
    </row>
    <row r="20" spans="1:2" x14ac:dyDescent="0.35">
      <c r="A20" s="34" t="s">
        <v>70</v>
      </c>
      <c r="B20" t="s">
        <v>75</v>
      </c>
    </row>
    <row r="21" spans="1:2" x14ac:dyDescent="0.35">
      <c r="A21" s="34" t="s">
        <v>71</v>
      </c>
      <c r="B21" t="s">
        <v>76</v>
      </c>
    </row>
    <row r="22" spans="1:2" x14ac:dyDescent="0.35">
      <c r="A22" s="34" t="s">
        <v>72</v>
      </c>
      <c r="B22" t="s">
        <v>76</v>
      </c>
    </row>
    <row r="23" spans="1:2" x14ac:dyDescent="0.35">
      <c r="A23" s="34" t="s">
        <v>45</v>
      </c>
      <c r="B23" t="s">
        <v>56</v>
      </c>
    </row>
    <row r="24" spans="1:2" x14ac:dyDescent="0.35">
      <c r="A24" s="33" t="s">
        <v>42</v>
      </c>
      <c r="B24" t="s">
        <v>43</v>
      </c>
    </row>
    <row r="25" spans="1:2" x14ac:dyDescent="0.35">
      <c r="A25" s="33" t="s">
        <v>46</v>
      </c>
      <c r="B25" t="s">
        <v>83</v>
      </c>
    </row>
    <row r="26" spans="1:2" x14ac:dyDescent="0.35">
      <c r="A26" s="33" t="s">
        <v>47</v>
      </c>
      <c r="B26" t="s">
        <v>126</v>
      </c>
    </row>
    <row r="27" spans="1:2" x14ac:dyDescent="0.35">
      <c r="A27" s="33"/>
    </row>
    <row r="28" spans="1:2" x14ac:dyDescent="0.35">
      <c r="A28" s="32" t="s">
        <v>26</v>
      </c>
    </row>
    <row r="29" spans="1:2" x14ac:dyDescent="0.35">
      <c r="A29" s="33" t="s">
        <v>48</v>
      </c>
      <c r="B29" t="s">
        <v>81</v>
      </c>
    </row>
    <row r="30" spans="1:2" x14ac:dyDescent="0.35">
      <c r="A30" s="33" t="s">
        <v>80</v>
      </c>
      <c r="B30" t="s">
        <v>81</v>
      </c>
    </row>
    <row r="31" spans="1:2" x14ac:dyDescent="0.35">
      <c r="A31" s="33" t="s">
        <v>49</v>
      </c>
      <c r="B31" t="s">
        <v>82</v>
      </c>
    </row>
    <row r="32" spans="1:2" x14ac:dyDescent="0.35">
      <c r="A32" s="33" t="s">
        <v>50</v>
      </c>
      <c r="B32" t="s">
        <v>44</v>
      </c>
    </row>
    <row r="33" spans="1:2" x14ac:dyDescent="0.35">
      <c r="A33" s="33" t="s">
        <v>51</v>
      </c>
      <c r="B33" t="s">
        <v>44</v>
      </c>
    </row>
    <row r="34" spans="1:2" x14ac:dyDescent="0.35">
      <c r="A34" s="33" t="s">
        <v>52</v>
      </c>
      <c r="B34" t="s">
        <v>44</v>
      </c>
    </row>
    <row r="35" spans="1:2" x14ac:dyDescent="0.35">
      <c r="A35" s="33" t="s">
        <v>53</v>
      </c>
      <c r="B35" t="s">
        <v>85</v>
      </c>
    </row>
    <row r="36" spans="1:2" x14ac:dyDescent="0.35">
      <c r="A36" s="33" t="s">
        <v>78</v>
      </c>
      <c r="B36" t="s">
        <v>44</v>
      </c>
    </row>
    <row r="37" spans="1:2" x14ac:dyDescent="0.35">
      <c r="A37" s="33" t="s">
        <v>79</v>
      </c>
      <c r="B37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09850-098D-4670-9335-657E85A426E4}">
  <dimension ref="A2:D37"/>
  <sheetViews>
    <sheetView workbookViewId="0">
      <selection activeCell="A10" sqref="A10"/>
    </sheetView>
  </sheetViews>
  <sheetFormatPr defaultRowHeight="14.5" x14ac:dyDescent="0.35"/>
  <cols>
    <col min="1" max="1" width="32.453125" customWidth="1"/>
    <col min="2" max="2" width="17.453125" customWidth="1"/>
    <col min="3" max="3" width="17.54296875" customWidth="1"/>
    <col min="4" max="4" width="17.26953125" customWidth="1"/>
    <col min="5" max="6" width="17.54296875" customWidth="1"/>
    <col min="7" max="7" width="17.453125" customWidth="1"/>
  </cols>
  <sheetData>
    <row r="2" spans="1:4" x14ac:dyDescent="0.35">
      <c r="A2" s="11" t="s">
        <v>38</v>
      </c>
      <c r="B2" s="11" t="s">
        <v>37</v>
      </c>
      <c r="C2" s="11" t="s">
        <v>60</v>
      </c>
    </row>
    <row r="3" spans="1:4" x14ac:dyDescent="0.35">
      <c r="A3" t="s">
        <v>86</v>
      </c>
      <c r="B3" s="35">
        <v>0.06</v>
      </c>
      <c r="C3" s="12">
        <v>37500</v>
      </c>
    </row>
    <row r="4" spans="1:4" x14ac:dyDescent="0.35">
      <c r="A4" t="s">
        <v>87</v>
      </c>
      <c r="B4" s="35">
        <v>0.05</v>
      </c>
      <c r="C4" t="s">
        <v>90</v>
      </c>
    </row>
    <row r="5" spans="1:4" x14ac:dyDescent="0.35">
      <c r="A5" t="s">
        <v>34</v>
      </c>
      <c r="B5" s="35">
        <v>0.04</v>
      </c>
      <c r="C5" s="12">
        <v>75000</v>
      </c>
    </row>
    <row r="6" spans="1:4" x14ac:dyDescent="0.35">
      <c r="A6" t="s">
        <v>88</v>
      </c>
      <c r="B6" s="37">
        <v>3.5000000000000003E-2</v>
      </c>
      <c r="C6" s="12">
        <v>100000</v>
      </c>
      <c r="D6" s="37"/>
    </row>
    <row r="7" spans="1:4" x14ac:dyDescent="0.35">
      <c r="A7" t="s">
        <v>89</v>
      </c>
      <c r="B7" s="37">
        <v>0.03</v>
      </c>
      <c r="C7" s="12">
        <v>175000</v>
      </c>
      <c r="D7" s="37"/>
    </row>
    <row r="8" spans="1:4" x14ac:dyDescent="0.35">
      <c r="A8" t="s">
        <v>58</v>
      </c>
      <c r="B8" t="s">
        <v>91</v>
      </c>
    </row>
    <row r="9" spans="1:4" x14ac:dyDescent="0.35">
      <c r="A9" t="s">
        <v>62</v>
      </c>
      <c r="B9" t="s">
        <v>64</v>
      </c>
    </row>
    <row r="10" spans="1:4" x14ac:dyDescent="0.35">
      <c r="A10" t="s">
        <v>63</v>
      </c>
      <c r="B10" t="s">
        <v>65</v>
      </c>
    </row>
    <row r="11" spans="1:4" x14ac:dyDescent="0.35">
      <c r="A11" t="s">
        <v>67</v>
      </c>
      <c r="B11" t="s">
        <v>55</v>
      </c>
    </row>
    <row r="12" spans="1:4" x14ac:dyDescent="0.35">
      <c r="A12" t="s">
        <v>39</v>
      </c>
      <c r="B12" t="s">
        <v>105</v>
      </c>
    </row>
    <row r="13" spans="1:4" x14ac:dyDescent="0.35">
      <c r="A13" t="s">
        <v>21</v>
      </c>
      <c r="B13" t="s">
        <v>66</v>
      </c>
    </row>
    <row r="14" spans="1:4" x14ac:dyDescent="0.35">
      <c r="A14" t="s">
        <v>40</v>
      </c>
      <c r="B14" t="s">
        <v>54</v>
      </c>
    </row>
    <row r="15" spans="1:4" x14ac:dyDescent="0.35">
      <c r="A15" s="33" t="s">
        <v>41</v>
      </c>
      <c r="B15" t="s">
        <v>54</v>
      </c>
    </row>
    <row r="16" spans="1:4" x14ac:dyDescent="0.35">
      <c r="A16" s="33"/>
    </row>
    <row r="17" spans="1:2" x14ac:dyDescent="0.35">
      <c r="A17" s="32" t="s">
        <v>77</v>
      </c>
    </row>
    <row r="18" spans="1:2" x14ac:dyDescent="0.35">
      <c r="A18" s="34" t="s">
        <v>68</v>
      </c>
      <c r="B18" t="s">
        <v>73</v>
      </c>
    </row>
    <row r="19" spans="1:2" x14ac:dyDescent="0.35">
      <c r="A19" s="34" t="s">
        <v>69</v>
      </c>
      <c r="B19" t="s">
        <v>74</v>
      </c>
    </row>
    <row r="20" spans="1:2" x14ac:dyDescent="0.35">
      <c r="A20" s="34" t="s">
        <v>70</v>
      </c>
      <c r="B20" t="s">
        <v>75</v>
      </c>
    </row>
    <row r="21" spans="1:2" x14ac:dyDescent="0.35">
      <c r="A21" s="34" t="s">
        <v>71</v>
      </c>
      <c r="B21" t="s">
        <v>76</v>
      </c>
    </row>
    <row r="22" spans="1:2" x14ac:dyDescent="0.35">
      <c r="A22" s="34" t="s">
        <v>72</v>
      </c>
      <c r="B22" t="s">
        <v>76</v>
      </c>
    </row>
    <row r="23" spans="1:2" x14ac:dyDescent="0.35">
      <c r="A23" s="34" t="s">
        <v>45</v>
      </c>
      <c r="B23" t="s">
        <v>56</v>
      </c>
    </row>
    <row r="24" spans="1:2" x14ac:dyDescent="0.35">
      <c r="A24" s="33" t="s">
        <v>42</v>
      </c>
      <c r="B24" t="s">
        <v>43</v>
      </c>
    </row>
    <row r="25" spans="1:2" x14ac:dyDescent="0.35">
      <c r="A25" s="33" t="s">
        <v>46</v>
      </c>
      <c r="B25" t="s">
        <v>83</v>
      </c>
    </row>
    <row r="26" spans="1:2" x14ac:dyDescent="0.35">
      <c r="A26" s="33" t="s">
        <v>47</v>
      </c>
      <c r="B26" t="s">
        <v>84</v>
      </c>
    </row>
    <row r="27" spans="1:2" x14ac:dyDescent="0.35">
      <c r="A27" s="33"/>
    </row>
    <row r="28" spans="1:2" x14ac:dyDescent="0.35">
      <c r="A28" s="32" t="s">
        <v>26</v>
      </c>
    </row>
    <row r="29" spans="1:2" x14ac:dyDescent="0.35">
      <c r="A29" s="33" t="s">
        <v>48</v>
      </c>
      <c r="B29" t="s">
        <v>81</v>
      </c>
    </row>
    <row r="30" spans="1:2" x14ac:dyDescent="0.35">
      <c r="A30" s="33" t="s">
        <v>80</v>
      </c>
      <c r="B30" t="s">
        <v>81</v>
      </c>
    </row>
    <row r="31" spans="1:2" x14ac:dyDescent="0.35">
      <c r="A31" s="33" t="s">
        <v>49</v>
      </c>
      <c r="B31" t="s">
        <v>82</v>
      </c>
    </row>
    <row r="32" spans="1:2" x14ac:dyDescent="0.35">
      <c r="A32" s="33" t="s">
        <v>50</v>
      </c>
      <c r="B32" t="s">
        <v>44</v>
      </c>
    </row>
    <row r="33" spans="1:2" x14ac:dyDescent="0.35">
      <c r="A33" s="33" t="s">
        <v>51</v>
      </c>
      <c r="B33" t="s">
        <v>44</v>
      </c>
    </row>
    <row r="34" spans="1:2" x14ac:dyDescent="0.35">
      <c r="A34" s="33" t="s">
        <v>52</v>
      </c>
      <c r="B34" t="s">
        <v>44</v>
      </c>
    </row>
    <row r="35" spans="1:2" x14ac:dyDescent="0.35">
      <c r="A35" s="33" t="s">
        <v>53</v>
      </c>
      <c r="B35" t="s">
        <v>85</v>
      </c>
    </row>
    <row r="36" spans="1:2" x14ac:dyDescent="0.35">
      <c r="A36" s="33" t="s">
        <v>78</v>
      </c>
      <c r="B36" t="s">
        <v>44</v>
      </c>
    </row>
    <row r="37" spans="1:2" x14ac:dyDescent="0.35">
      <c r="A37" s="33" t="s">
        <v>79</v>
      </c>
      <c r="B37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842C5-2B90-47CA-960D-520961C2E437}">
  <dimension ref="A2:D37"/>
  <sheetViews>
    <sheetView workbookViewId="0">
      <selection activeCell="B27" sqref="B27"/>
    </sheetView>
  </sheetViews>
  <sheetFormatPr defaultRowHeight="14.5" x14ac:dyDescent="0.35"/>
  <cols>
    <col min="1" max="1" width="32.54296875" customWidth="1"/>
    <col min="2" max="2" width="17.81640625" customWidth="1"/>
    <col min="3" max="3" width="17.54296875" customWidth="1"/>
    <col min="4" max="4" width="17.81640625" customWidth="1"/>
    <col min="5" max="5" width="17.7265625" customWidth="1"/>
    <col min="6" max="6" width="17.54296875" customWidth="1"/>
    <col min="7" max="7" width="17.1796875" customWidth="1"/>
  </cols>
  <sheetData>
    <row r="2" spans="1:4" x14ac:dyDescent="0.35">
      <c r="A2" s="11" t="s">
        <v>38</v>
      </c>
      <c r="B2" s="11" t="s">
        <v>37</v>
      </c>
      <c r="C2" s="11" t="s">
        <v>102</v>
      </c>
    </row>
    <row r="3" spans="1:4" x14ac:dyDescent="0.35">
      <c r="A3" t="s">
        <v>99</v>
      </c>
      <c r="B3" s="35">
        <v>0.05</v>
      </c>
    </row>
    <row r="4" spans="1:4" x14ac:dyDescent="0.35">
      <c r="A4" t="s">
        <v>100</v>
      </c>
      <c r="B4" s="37">
        <v>3.5000000000000003E-2</v>
      </c>
      <c r="D4" s="37"/>
    </row>
    <row r="5" spans="1:4" x14ac:dyDescent="0.35">
      <c r="A5" t="s">
        <v>101</v>
      </c>
      <c r="B5" s="35">
        <v>0.03</v>
      </c>
    </row>
    <row r="6" spans="1:4" x14ac:dyDescent="0.35">
      <c r="A6" t="s">
        <v>36</v>
      </c>
      <c r="B6" s="35">
        <v>0.03</v>
      </c>
    </row>
    <row r="7" spans="1:4" x14ac:dyDescent="0.35">
      <c r="A7" t="s">
        <v>58</v>
      </c>
      <c r="B7" t="s">
        <v>104</v>
      </c>
    </row>
    <row r="8" spans="1:4" x14ac:dyDescent="0.35">
      <c r="A8" t="s">
        <v>60</v>
      </c>
      <c r="B8" s="36" t="s">
        <v>103</v>
      </c>
      <c r="C8" s="36"/>
    </row>
    <row r="9" spans="1:4" x14ac:dyDescent="0.35">
      <c r="A9" t="s">
        <v>62</v>
      </c>
      <c r="B9" t="s">
        <v>64</v>
      </c>
    </row>
    <row r="10" spans="1:4" x14ac:dyDescent="0.35">
      <c r="A10" t="s">
        <v>63</v>
      </c>
      <c r="B10" t="s">
        <v>65</v>
      </c>
    </row>
    <row r="11" spans="1:4" x14ac:dyDescent="0.35">
      <c r="A11" t="s">
        <v>67</v>
      </c>
      <c r="B11" t="s">
        <v>55</v>
      </c>
    </row>
    <row r="12" spans="1:4" x14ac:dyDescent="0.35">
      <c r="A12" t="s">
        <v>39</v>
      </c>
      <c r="B12" t="s">
        <v>105</v>
      </c>
    </row>
    <row r="13" spans="1:4" x14ac:dyDescent="0.35">
      <c r="A13" t="s">
        <v>21</v>
      </c>
      <c r="B13" t="s">
        <v>109</v>
      </c>
    </row>
    <row r="14" spans="1:4" x14ac:dyDescent="0.35">
      <c r="A14" t="s">
        <v>40</v>
      </c>
      <c r="B14" t="s">
        <v>54</v>
      </c>
    </row>
    <row r="15" spans="1:4" x14ac:dyDescent="0.35">
      <c r="A15" s="33" t="s">
        <v>41</v>
      </c>
      <c r="B15" t="s">
        <v>54</v>
      </c>
    </row>
    <row r="16" spans="1:4" x14ac:dyDescent="0.35">
      <c r="A16" s="33"/>
    </row>
    <row r="17" spans="1:2" x14ac:dyDescent="0.35">
      <c r="A17" s="32" t="s">
        <v>77</v>
      </c>
    </row>
    <row r="18" spans="1:2" x14ac:dyDescent="0.35">
      <c r="A18" s="34" t="s">
        <v>68</v>
      </c>
      <c r="B18" t="s">
        <v>73</v>
      </c>
    </row>
    <row r="19" spans="1:2" x14ac:dyDescent="0.35">
      <c r="A19" s="34" t="s">
        <v>69</v>
      </c>
      <c r="B19" t="s">
        <v>74</v>
      </c>
    </row>
    <row r="20" spans="1:2" x14ac:dyDescent="0.35">
      <c r="A20" s="34" t="s">
        <v>70</v>
      </c>
      <c r="B20" t="s">
        <v>75</v>
      </c>
    </row>
    <row r="21" spans="1:2" x14ac:dyDescent="0.35">
      <c r="A21" s="34" t="s">
        <v>71</v>
      </c>
      <c r="B21" t="s">
        <v>76</v>
      </c>
    </row>
    <row r="22" spans="1:2" x14ac:dyDescent="0.35">
      <c r="A22" s="34" t="s">
        <v>72</v>
      </c>
      <c r="B22" t="s">
        <v>76</v>
      </c>
    </row>
    <row r="23" spans="1:2" x14ac:dyDescent="0.35">
      <c r="A23" s="34" t="s">
        <v>45</v>
      </c>
      <c r="B23" t="s">
        <v>56</v>
      </c>
    </row>
    <row r="24" spans="1:2" x14ac:dyDescent="0.35">
      <c r="A24" s="33" t="s">
        <v>42</v>
      </c>
      <c r="B24" t="s">
        <v>43</v>
      </c>
    </row>
    <row r="25" spans="1:2" x14ac:dyDescent="0.35">
      <c r="A25" s="33" t="s">
        <v>46</v>
      </c>
      <c r="B25" t="s">
        <v>83</v>
      </c>
    </row>
    <row r="26" spans="1:2" x14ac:dyDescent="0.35">
      <c r="A26" s="33" t="s">
        <v>47</v>
      </c>
      <c r="B26" t="s">
        <v>126</v>
      </c>
    </row>
    <row r="27" spans="1:2" x14ac:dyDescent="0.35">
      <c r="A27" s="33"/>
    </row>
    <row r="28" spans="1:2" x14ac:dyDescent="0.35">
      <c r="A28" s="32" t="s">
        <v>26</v>
      </c>
    </row>
    <row r="29" spans="1:2" x14ac:dyDescent="0.35">
      <c r="A29" s="33" t="s">
        <v>48</v>
      </c>
      <c r="B29" t="s">
        <v>81</v>
      </c>
    </row>
    <row r="30" spans="1:2" x14ac:dyDescent="0.35">
      <c r="A30" s="33" t="s">
        <v>80</v>
      </c>
      <c r="B30" t="s">
        <v>81</v>
      </c>
    </row>
    <row r="31" spans="1:2" x14ac:dyDescent="0.35">
      <c r="A31" s="33" t="s">
        <v>49</v>
      </c>
      <c r="B31" t="s">
        <v>82</v>
      </c>
    </row>
    <row r="32" spans="1:2" x14ac:dyDescent="0.35">
      <c r="A32" s="33" t="s">
        <v>50</v>
      </c>
      <c r="B32" t="s">
        <v>44</v>
      </c>
    </row>
    <row r="33" spans="1:2" x14ac:dyDescent="0.35">
      <c r="A33" s="33" t="s">
        <v>51</v>
      </c>
      <c r="B33" t="s">
        <v>44</v>
      </c>
    </row>
    <row r="34" spans="1:2" x14ac:dyDescent="0.35">
      <c r="A34" s="33" t="s">
        <v>52</v>
      </c>
      <c r="B34" t="s">
        <v>44</v>
      </c>
    </row>
    <row r="35" spans="1:2" x14ac:dyDescent="0.35">
      <c r="A35" s="33" t="s">
        <v>53</v>
      </c>
      <c r="B35" t="s">
        <v>85</v>
      </c>
    </row>
    <row r="36" spans="1:2" x14ac:dyDescent="0.35">
      <c r="A36" s="33" t="s">
        <v>78</v>
      </c>
      <c r="B36" t="s">
        <v>44</v>
      </c>
    </row>
    <row r="37" spans="1:2" x14ac:dyDescent="0.35">
      <c r="A37" s="33" t="s">
        <v>79</v>
      </c>
      <c r="B37" t="s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1E322-EDD6-4D68-BE7B-9531C7D538AA}">
  <dimension ref="A2:B42"/>
  <sheetViews>
    <sheetView workbookViewId="0">
      <selection activeCell="C15" sqref="C15"/>
    </sheetView>
  </sheetViews>
  <sheetFormatPr defaultRowHeight="14.5" x14ac:dyDescent="0.35"/>
  <cols>
    <col min="1" max="1" width="31.54296875" customWidth="1"/>
    <col min="2" max="2" width="17.1796875" customWidth="1"/>
    <col min="3" max="3" width="17.7265625" customWidth="1"/>
    <col min="4" max="4" width="17.81640625" customWidth="1"/>
    <col min="5" max="5" width="17.453125" customWidth="1"/>
    <col min="6" max="6" width="17.54296875" customWidth="1"/>
    <col min="7" max="7" width="17.26953125" customWidth="1"/>
  </cols>
  <sheetData>
    <row r="2" spans="1:2" x14ac:dyDescent="0.35">
      <c r="A2" s="11" t="s">
        <v>38</v>
      </c>
      <c r="B2" s="11" t="s">
        <v>37</v>
      </c>
    </row>
    <row r="3" spans="1:2" x14ac:dyDescent="0.35">
      <c r="A3" t="s">
        <v>86</v>
      </c>
      <c r="B3" s="35">
        <v>0.06</v>
      </c>
    </row>
    <row r="4" spans="1:2" x14ac:dyDescent="0.35">
      <c r="A4" t="s">
        <v>112</v>
      </c>
      <c r="B4" s="35">
        <v>0.04</v>
      </c>
    </row>
    <row r="5" spans="1:2" x14ac:dyDescent="0.35">
      <c r="A5" t="s">
        <v>113</v>
      </c>
      <c r="B5" s="35">
        <v>0.03</v>
      </c>
    </row>
    <row r="6" spans="1:2" x14ac:dyDescent="0.35">
      <c r="B6" s="35"/>
    </row>
    <row r="7" spans="1:2" x14ac:dyDescent="0.35">
      <c r="A7" t="s">
        <v>58</v>
      </c>
      <c r="B7" t="s">
        <v>110</v>
      </c>
    </row>
    <row r="8" spans="1:2" x14ac:dyDescent="0.35">
      <c r="A8" t="s">
        <v>60</v>
      </c>
      <c r="B8" s="36" t="s">
        <v>107</v>
      </c>
    </row>
    <row r="9" spans="1:2" x14ac:dyDescent="0.35">
      <c r="A9" t="s">
        <v>62</v>
      </c>
      <c r="B9" t="s">
        <v>111</v>
      </c>
    </row>
    <row r="10" spans="1:2" x14ac:dyDescent="0.35">
      <c r="A10" t="s">
        <v>63</v>
      </c>
      <c r="B10" t="s">
        <v>65</v>
      </c>
    </row>
    <row r="11" spans="1:2" x14ac:dyDescent="0.35">
      <c r="A11" t="s">
        <v>67</v>
      </c>
      <c r="B11" t="s">
        <v>55</v>
      </c>
    </row>
    <row r="12" spans="1:2" x14ac:dyDescent="0.35">
      <c r="A12" t="s">
        <v>39</v>
      </c>
      <c r="B12" t="s">
        <v>105</v>
      </c>
    </row>
    <row r="13" spans="1:2" x14ac:dyDescent="0.35">
      <c r="A13" t="s">
        <v>21</v>
      </c>
      <c r="B13" t="s">
        <v>114</v>
      </c>
    </row>
    <row r="14" spans="1:2" x14ac:dyDescent="0.35">
      <c r="A14" t="s">
        <v>40</v>
      </c>
      <c r="B14" t="s">
        <v>54</v>
      </c>
    </row>
    <row r="15" spans="1:2" x14ac:dyDescent="0.35">
      <c r="A15" s="33" t="s">
        <v>41</v>
      </c>
      <c r="B15" t="s">
        <v>54</v>
      </c>
    </row>
    <row r="16" spans="1:2" x14ac:dyDescent="0.35">
      <c r="A16" s="33"/>
    </row>
    <row r="17" spans="1:2" x14ac:dyDescent="0.35">
      <c r="A17" s="32" t="s">
        <v>77</v>
      </c>
    </row>
    <row r="18" spans="1:2" x14ac:dyDescent="0.35">
      <c r="A18" s="34" t="s">
        <v>68</v>
      </c>
      <c r="B18" t="s">
        <v>73</v>
      </c>
    </row>
    <row r="19" spans="1:2" x14ac:dyDescent="0.35">
      <c r="A19" s="34" t="s">
        <v>69</v>
      </c>
      <c r="B19" t="s">
        <v>74</v>
      </c>
    </row>
    <row r="20" spans="1:2" x14ac:dyDescent="0.35">
      <c r="A20" s="34" t="s">
        <v>70</v>
      </c>
      <c r="B20" t="s">
        <v>75</v>
      </c>
    </row>
    <row r="21" spans="1:2" x14ac:dyDescent="0.35">
      <c r="A21" s="34" t="s">
        <v>71</v>
      </c>
      <c r="B21" t="s">
        <v>76</v>
      </c>
    </row>
    <row r="22" spans="1:2" x14ac:dyDescent="0.35">
      <c r="A22" s="34" t="s">
        <v>72</v>
      </c>
      <c r="B22" t="s">
        <v>76</v>
      </c>
    </row>
    <row r="23" spans="1:2" x14ac:dyDescent="0.35">
      <c r="A23" s="34" t="s">
        <v>45</v>
      </c>
      <c r="B23" t="s">
        <v>56</v>
      </c>
    </row>
    <row r="24" spans="1:2" x14ac:dyDescent="0.35">
      <c r="A24" s="33" t="s">
        <v>42</v>
      </c>
      <c r="B24" t="s">
        <v>43</v>
      </c>
    </row>
    <row r="25" spans="1:2" x14ac:dyDescent="0.35">
      <c r="A25" s="33" t="s">
        <v>46</v>
      </c>
      <c r="B25" t="s">
        <v>83</v>
      </c>
    </row>
    <row r="26" spans="1:2" x14ac:dyDescent="0.35">
      <c r="A26" s="33" t="s">
        <v>47</v>
      </c>
      <c r="B26" t="s">
        <v>84</v>
      </c>
    </row>
    <row r="27" spans="1:2" x14ac:dyDescent="0.35">
      <c r="A27" s="33"/>
    </row>
    <row r="28" spans="1:2" x14ac:dyDescent="0.35">
      <c r="A28" s="32" t="s">
        <v>26</v>
      </c>
    </row>
    <row r="29" spans="1:2" x14ac:dyDescent="0.35">
      <c r="A29" s="33" t="s">
        <v>48</v>
      </c>
      <c r="B29" t="s">
        <v>81</v>
      </c>
    </row>
    <row r="30" spans="1:2" x14ac:dyDescent="0.35">
      <c r="A30" s="33" t="s">
        <v>80</v>
      </c>
      <c r="B30" t="s">
        <v>81</v>
      </c>
    </row>
    <row r="31" spans="1:2" x14ac:dyDescent="0.35">
      <c r="A31" s="33" t="s">
        <v>49</v>
      </c>
      <c r="B31" t="s">
        <v>82</v>
      </c>
    </row>
    <row r="32" spans="1:2" x14ac:dyDescent="0.35">
      <c r="A32" s="33" t="s">
        <v>50</v>
      </c>
      <c r="B32" t="s">
        <v>44</v>
      </c>
    </row>
    <row r="33" spans="1:2" x14ac:dyDescent="0.35">
      <c r="A33" s="33" t="s">
        <v>51</v>
      </c>
      <c r="B33" t="s">
        <v>44</v>
      </c>
    </row>
    <row r="34" spans="1:2" x14ac:dyDescent="0.35">
      <c r="A34" s="33" t="s">
        <v>52</v>
      </c>
      <c r="B34" t="s">
        <v>44</v>
      </c>
    </row>
    <row r="35" spans="1:2" x14ac:dyDescent="0.35">
      <c r="A35" s="33" t="s">
        <v>53</v>
      </c>
      <c r="B35" t="s">
        <v>85</v>
      </c>
    </row>
    <row r="36" spans="1:2" x14ac:dyDescent="0.35">
      <c r="A36" s="33" t="s">
        <v>78</v>
      </c>
      <c r="B36" t="s">
        <v>44</v>
      </c>
    </row>
    <row r="37" spans="1:2" x14ac:dyDescent="0.35">
      <c r="A37" s="33" t="s">
        <v>79</v>
      </c>
      <c r="B37" t="s">
        <v>44</v>
      </c>
    </row>
    <row r="39" spans="1:2" x14ac:dyDescent="0.35">
      <c r="A39" s="32" t="s">
        <v>115</v>
      </c>
    </row>
    <row r="40" spans="1:2" x14ac:dyDescent="0.35">
      <c r="A40" s="32" t="s">
        <v>116</v>
      </c>
    </row>
    <row r="41" spans="1:2" x14ac:dyDescent="0.35">
      <c r="A41" t="s">
        <v>117</v>
      </c>
      <c r="B41" t="s">
        <v>118</v>
      </c>
    </row>
    <row r="42" spans="1:2" x14ac:dyDescent="0.35">
      <c r="A42" t="s">
        <v>7</v>
      </c>
      <c r="B42" t="s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9BEB6-BF04-4E07-920D-1F1D72C2B9A7}">
  <dimension ref="A2:B37"/>
  <sheetViews>
    <sheetView workbookViewId="0">
      <selection activeCell="B13" sqref="B13"/>
    </sheetView>
  </sheetViews>
  <sheetFormatPr defaultRowHeight="14.5" x14ac:dyDescent="0.35"/>
  <cols>
    <col min="1" max="1" width="31" customWidth="1"/>
    <col min="2" max="2" width="17.54296875" customWidth="1"/>
    <col min="3" max="3" width="17.26953125" customWidth="1"/>
    <col min="4" max="4" width="17.81640625" customWidth="1"/>
    <col min="5" max="5" width="17.7265625" customWidth="1"/>
    <col min="6" max="6" width="18.1796875" customWidth="1"/>
    <col min="7" max="7" width="17.453125" customWidth="1"/>
  </cols>
  <sheetData>
    <row r="2" spans="1:2" x14ac:dyDescent="0.35">
      <c r="A2" s="11" t="s">
        <v>38</v>
      </c>
      <c r="B2" s="11" t="s">
        <v>37</v>
      </c>
    </row>
    <row r="3" spans="1:2" x14ac:dyDescent="0.35">
      <c r="A3" t="s">
        <v>57</v>
      </c>
      <c r="B3" s="35">
        <v>7.0000000000000007E-2</v>
      </c>
    </row>
    <row r="4" spans="1:2" x14ac:dyDescent="0.35">
      <c r="A4" t="s">
        <v>34</v>
      </c>
      <c r="B4" s="35">
        <v>0.04</v>
      </c>
    </row>
    <row r="5" spans="1:2" x14ac:dyDescent="0.35">
      <c r="A5" t="s">
        <v>35</v>
      </c>
      <c r="B5" s="35">
        <v>0.03</v>
      </c>
    </row>
    <row r="6" spans="1:2" x14ac:dyDescent="0.35">
      <c r="A6" t="s">
        <v>36</v>
      </c>
      <c r="B6" s="35">
        <v>0.03</v>
      </c>
    </row>
    <row r="7" spans="1:2" x14ac:dyDescent="0.35">
      <c r="A7" t="s">
        <v>58</v>
      </c>
      <c r="B7" t="s">
        <v>59</v>
      </c>
    </row>
    <row r="8" spans="1:2" x14ac:dyDescent="0.35">
      <c r="A8" t="s">
        <v>60</v>
      </c>
      <c r="B8" s="36" t="s">
        <v>61</v>
      </c>
    </row>
    <row r="9" spans="1:2" x14ac:dyDescent="0.35">
      <c r="A9" t="s">
        <v>62</v>
      </c>
      <c r="B9" t="s">
        <v>64</v>
      </c>
    </row>
    <row r="10" spans="1:2" x14ac:dyDescent="0.35">
      <c r="A10" t="s">
        <v>63</v>
      </c>
      <c r="B10" t="s">
        <v>65</v>
      </c>
    </row>
    <row r="11" spans="1:2" x14ac:dyDescent="0.35">
      <c r="A11" t="s">
        <v>67</v>
      </c>
      <c r="B11" t="s">
        <v>55</v>
      </c>
    </row>
    <row r="12" spans="1:2" x14ac:dyDescent="0.35">
      <c r="A12" t="s">
        <v>39</v>
      </c>
      <c r="B12" t="s">
        <v>106</v>
      </c>
    </row>
    <row r="13" spans="1:2" x14ac:dyDescent="0.35">
      <c r="A13" t="s">
        <v>21</v>
      </c>
      <c r="B13" t="s">
        <v>66</v>
      </c>
    </row>
    <row r="14" spans="1:2" x14ac:dyDescent="0.35">
      <c r="A14" t="s">
        <v>40</v>
      </c>
      <c r="B14" t="s">
        <v>54</v>
      </c>
    </row>
    <row r="15" spans="1:2" x14ac:dyDescent="0.35">
      <c r="A15" s="33" t="s">
        <v>41</v>
      </c>
      <c r="B15" t="s">
        <v>54</v>
      </c>
    </row>
    <row r="16" spans="1:2" x14ac:dyDescent="0.35">
      <c r="A16" s="33"/>
    </row>
    <row r="17" spans="1:2" x14ac:dyDescent="0.35">
      <c r="A17" s="32" t="s">
        <v>77</v>
      </c>
    </row>
    <row r="18" spans="1:2" x14ac:dyDescent="0.35">
      <c r="A18" s="34" t="s">
        <v>68</v>
      </c>
      <c r="B18" t="s">
        <v>73</v>
      </c>
    </row>
    <row r="19" spans="1:2" x14ac:dyDescent="0.35">
      <c r="A19" s="34" t="s">
        <v>69</v>
      </c>
      <c r="B19" t="s">
        <v>74</v>
      </c>
    </row>
    <row r="20" spans="1:2" x14ac:dyDescent="0.35">
      <c r="A20" s="34" t="s">
        <v>70</v>
      </c>
      <c r="B20" t="s">
        <v>75</v>
      </c>
    </row>
    <row r="21" spans="1:2" x14ac:dyDescent="0.35">
      <c r="A21" s="34" t="s">
        <v>71</v>
      </c>
      <c r="B21" t="s">
        <v>76</v>
      </c>
    </row>
    <row r="22" spans="1:2" x14ac:dyDescent="0.35">
      <c r="A22" s="34" t="s">
        <v>72</v>
      </c>
      <c r="B22" t="s">
        <v>76</v>
      </c>
    </row>
    <row r="23" spans="1:2" x14ac:dyDescent="0.35">
      <c r="A23" s="34" t="s">
        <v>45</v>
      </c>
      <c r="B23" t="s">
        <v>56</v>
      </c>
    </row>
    <row r="24" spans="1:2" x14ac:dyDescent="0.35">
      <c r="A24" s="33" t="s">
        <v>42</v>
      </c>
      <c r="B24" t="s">
        <v>43</v>
      </c>
    </row>
    <row r="25" spans="1:2" x14ac:dyDescent="0.35">
      <c r="A25" s="33" t="s">
        <v>46</v>
      </c>
      <c r="B25" t="s">
        <v>83</v>
      </c>
    </row>
    <row r="26" spans="1:2" x14ac:dyDescent="0.35">
      <c r="A26" s="33" t="s">
        <v>47</v>
      </c>
      <c r="B26" t="s">
        <v>84</v>
      </c>
    </row>
    <row r="27" spans="1:2" x14ac:dyDescent="0.35">
      <c r="A27" s="33"/>
    </row>
    <row r="28" spans="1:2" x14ac:dyDescent="0.35">
      <c r="A28" s="32" t="s">
        <v>26</v>
      </c>
    </row>
    <row r="29" spans="1:2" x14ac:dyDescent="0.35">
      <c r="A29" s="33" t="s">
        <v>48</v>
      </c>
      <c r="B29" t="s">
        <v>81</v>
      </c>
    </row>
    <row r="30" spans="1:2" x14ac:dyDescent="0.35">
      <c r="A30" s="33" t="s">
        <v>80</v>
      </c>
      <c r="B30" t="s">
        <v>81</v>
      </c>
    </row>
    <row r="31" spans="1:2" x14ac:dyDescent="0.35">
      <c r="A31" s="33" t="s">
        <v>49</v>
      </c>
      <c r="B31" t="s">
        <v>82</v>
      </c>
    </row>
    <row r="32" spans="1:2" x14ac:dyDescent="0.35">
      <c r="A32" s="33" t="s">
        <v>50</v>
      </c>
      <c r="B32" t="s">
        <v>44</v>
      </c>
    </row>
    <row r="33" spans="1:2" x14ac:dyDescent="0.35">
      <c r="A33" s="33" t="s">
        <v>51</v>
      </c>
      <c r="B33" t="s">
        <v>44</v>
      </c>
    </row>
    <row r="34" spans="1:2" x14ac:dyDescent="0.35">
      <c r="A34" s="33" t="s">
        <v>52</v>
      </c>
      <c r="B34" t="s">
        <v>44</v>
      </c>
    </row>
    <row r="35" spans="1:2" x14ac:dyDescent="0.35">
      <c r="A35" s="33" t="s">
        <v>53</v>
      </c>
      <c r="B35" t="s">
        <v>85</v>
      </c>
    </row>
    <row r="36" spans="1:2" x14ac:dyDescent="0.35">
      <c r="A36" s="33" t="s">
        <v>78</v>
      </c>
      <c r="B36" t="s">
        <v>44</v>
      </c>
    </row>
    <row r="37" spans="1:2" x14ac:dyDescent="0.35">
      <c r="A37" s="33" t="s">
        <v>79</v>
      </c>
      <c r="B37" t="s">
        <v>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DC5AC-044B-4B79-AB74-2C8AC7605203}">
  <dimension ref="A2:B8"/>
  <sheetViews>
    <sheetView workbookViewId="0">
      <selection activeCell="D13" sqref="D13"/>
    </sheetView>
  </sheetViews>
  <sheetFormatPr defaultRowHeight="14.5" x14ac:dyDescent="0.35"/>
  <cols>
    <col min="1" max="1" width="26.36328125" customWidth="1"/>
  </cols>
  <sheetData>
    <row r="2" spans="1:2" x14ac:dyDescent="0.35">
      <c r="B2" s="12">
        <v>2000000</v>
      </c>
    </row>
    <row r="4" spans="1:2" x14ac:dyDescent="0.35">
      <c r="A4" t="s">
        <v>146</v>
      </c>
      <c r="B4">
        <f>2000000*4%</f>
        <v>80000</v>
      </c>
    </row>
    <row r="5" spans="1:2" x14ac:dyDescent="0.35">
      <c r="A5" t="s">
        <v>39</v>
      </c>
      <c r="B5">
        <f>2000000*0.25%</f>
        <v>5000</v>
      </c>
    </row>
    <row r="6" spans="1:2" x14ac:dyDescent="0.35">
      <c r="A6" t="s">
        <v>147</v>
      </c>
      <c r="B6">
        <f>2000000*0.25%</f>
        <v>5000</v>
      </c>
    </row>
    <row r="7" spans="1:2" x14ac:dyDescent="0.35">
      <c r="B7">
        <v>1000</v>
      </c>
    </row>
    <row r="8" spans="1:2" x14ac:dyDescent="0.35">
      <c r="B8">
        <f>SUM(B4:B7)</f>
        <v>91000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Motor Quote</vt:lpstr>
      <vt:lpstr>Pacis</vt:lpstr>
      <vt:lpstr>Heritage</vt:lpstr>
      <vt:lpstr>Oldmutual</vt:lpstr>
      <vt:lpstr>Kenindia</vt:lpstr>
      <vt:lpstr>Mua</vt:lpstr>
      <vt:lpstr>Kenya Orient</vt:lpstr>
      <vt:lpstr>Monarch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2026-04-08T19:05:46Z</cp:lastPrinted>
  <dcterms:created xsi:type="dcterms:W3CDTF">2025-02-12T12:02:58Z</dcterms:created>
  <dcterms:modified xsi:type="dcterms:W3CDTF">2026-08-19T12:44:09Z</dcterms:modified>
</cp:coreProperties>
</file>